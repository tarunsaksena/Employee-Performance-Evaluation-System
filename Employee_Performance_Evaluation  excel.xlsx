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Data" sheetId="1" state="visible" r:id="rId3"/>
    <sheet name="Summary" sheetId="2" state="visible" r:id="rId4"/>
    <sheet name="Rating Sca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<sst xmlns="http://schemas.openxmlformats.org/spreadsheetml/2006/main" count="136" uniqueCount="113">
  <si>
    <t xml:space="preserve">Employee Performance Evaluation - Data Sheet</t>
  </si>
  <si>
    <t xml:space="preserve">Blue cells = enter/edit scores (1-5 scale). Black cells = formulas (auto). Row 5 onward is sample data - replace with real employees.</t>
  </si>
  <si>
    <t xml:space="preserve">Emp ID</t>
  </si>
  <si>
    <t xml:space="preserve">Employee Name</t>
  </si>
  <si>
    <t xml:space="preserve">Department</t>
  </si>
  <si>
    <t xml:space="preserve">Job Responsibilities</t>
  </si>
  <si>
    <t xml:space="preserve">Skills</t>
  </si>
  <si>
    <t xml:space="preserve">Competencies</t>
  </si>
  <si>
    <t xml:space="preserve">Goals Achievement</t>
  </si>
  <si>
    <t xml:space="preserve">Overall Score</t>
  </si>
  <si>
    <t xml:space="preserve">Previous Score</t>
  </si>
  <si>
    <t xml:space="preserve">Change</t>
  </si>
  <si>
    <t xml:space="preserve">Rating</t>
  </si>
  <si>
    <t xml:space="preserve">Status</t>
  </si>
  <si>
    <t xml:space="preserve">Manager Comments</t>
  </si>
  <si>
    <t xml:space="preserve">Areas for Improvement</t>
  </si>
  <si>
    <t xml:space="preserve">E001</t>
  </si>
  <si>
    <t xml:space="preserve">Aarav Sharma</t>
  </si>
  <si>
    <t xml:space="preserve">Sales</t>
  </si>
  <si>
    <t xml:space="preserve">Excellent closer</t>
  </si>
  <si>
    <t xml:space="preserve">Delegation</t>
  </si>
  <si>
    <t xml:space="preserve">E002</t>
  </si>
  <si>
    <t xml:space="preserve">Priya Verma</t>
  </si>
  <si>
    <t xml:space="preserve">Marketing</t>
  </si>
  <si>
    <t xml:space="preserve">Creative, reliable</t>
  </si>
  <si>
    <t xml:space="preserve">Data analysis</t>
  </si>
  <si>
    <t xml:space="preserve">E003</t>
  </si>
  <si>
    <t xml:space="preserve">Rohan Gupta</t>
  </si>
  <si>
    <t xml:space="preserve">IT</t>
  </si>
  <si>
    <t xml:space="preserve">Solid technical work</t>
  </si>
  <si>
    <t xml:space="preserve">Communication</t>
  </si>
  <si>
    <t xml:space="preserve">E004</t>
  </si>
  <si>
    <t xml:space="preserve">Sneha Iyer</t>
  </si>
  <si>
    <t xml:space="preserve">HR</t>
  </si>
  <si>
    <t xml:space="preserve">Great team player</t>
  </si>
  <si>
    <t xml:space="preserve">Time management</t>
  </si>
  <si>
    <t xml:space="preserve">E005</t>
  </si>
  <si>
    <t xml:space="preserve">Karan Mehta</t>
  </si>
  <si>
    <t xml:space="preserve">Finance</t>
  </si>
  <si>
    <t xml:space="preserve">Needs coaching</t>
  </si>
  <si>
    <t xml:space="preserve">Accuracy, deadlines</t>
  </si>
  <si>
    <t xml:space="preserve">E006</t>
  </si>
  <si>
    <t xml:space="preserve">Neha Singh</t>
  </si>
  <si>
    <t xml:space="preserve">Improving steadily</t>
  </si>
  <si>
    <t xml:space="preserve">Product knowledge</t>
  </si>
  <si>
    <t xml:space="preserve">E007</t>
  </si>
  <si>
    <t xml:space="preserve">Vikram Rao</t>
  </si>
  <si>
    <t xml:space="preserve">Top performer</t>
  </si>
  <si>
    <t xml:space="preserve">Mentoring juniors</t>
  </si>
  <si>
    <t xml:space="preserve">E008</t>
  </si>
  <si>
    <t xml:space="preserve">Anjali Das</t>
  </si>
  <si>
    <t xml:space="preserve">Below expectations</t>
  </si>
  <si>
    <t xml:space="preserve">Core skills training</t>
  </si>
  <si>
    <t xml:space="preserve">E009</t>
  </si>
  <si>
    <t xml:space="preserve">Manish Jain</t>
  </si>
  <si>
    <t xml:space="preserve">Consistent</t>
  </si>
  <si>
    <t xml:space="preserve">Leadership</t>
  </si>
  <si>
    <t xml:space="preserve">E010</t>
  </si>
  <si>
    <t xml:space="preserve">Pooja Nair</t>
  </si>
  <si>
    <t xml:space="preserve">Good communicator</t>
  </si>
  <si>
    <t xml:space="preserve">Strategic thinking</t>
  </si>
  <si>
    <t xml:space="preserve">Performance Summary &amp; Analysis</t>
  </si>
  <si>
    <t xml:space="preserve">Total employees evaluated</t>
  </si>
  <si>
    <t xml:space="preserve">Average overall score</t>
  </si>
  <si>
    <t xml:space="preserve">Average previous score</t>
  </si>
  <si>
    <t xml:space="preserve">Change vs previous</t>
  </si>
  <si>
    <t xml:space="preserve">Highest score</t>
  </si>
  <si>
    <t xml:space="preserve">Lowest score</t>
  </si>
  <si>
    <t xml:space="preserve">Employees needing support</t>
  </si>
  <si>
    <t xml:space="preserve">Top performers (score &gt;= 4)</t>
  </si>
  <si>
    <t xml:space="preserve">Top 3 Performers</t>
  </si>
  <si>
    <t xml:space="preserve">Rank</t>
  </si>
  <si>
    <t xml:space="preserve">Name</t>
  </si>
  <si>
    <t xml:space="preserve">Score</t>
  </si>
  <si>
    <t xml:space="preserve">Department-wise Average</t>
  </si>
  <si>
    <t xml:space="preserve">Avg Score</t>
  </si>
  <si>
    <t xml:space="preserve">Headcount</t>
  </si>
  <si>
    <t xml:space="preserve">Rating Distribution</t>
  </si>
  <si>
    <t xml:space="preserve">Count</t>
  </si>
  <si>
    <t xml:space="preserve">Outstanding</t>
  </si>
  <si>
    <t xml:space="preserve">Exceeds Expectations</t>
  </si>
  <si>
    <t xml:space="preserve">Meets Expectations</t>
  </si>
  <si>
    <t xml:space="preserve">Needs Improvement</t>
  </si>
  <si>
    <t xml:space="preserve">Unsatisfactory</t>
  </si>
  <si>
    <t xml:space="preserve">Rating Scale &amp; SMART Goal Tracker</t>
  </si>
  <si>
    <t xml:space="preserve">Score Range</t>
  </si>
  <si>
    <t xml:space="preserve">Meaning</t>
  </si>
  <si>
    <t xml:space="preserve">4.5 - 5.0</t>
  </si>
  <si>
    <t xml:space="preserve">Consistently exceeds all goals</t>
  </si>
  <si>
    <t xml:space="preserve">3.5 - 4.4</t>
  </si>
  <si>
    <t xml:space="preserve">Often exceeds goals</t>
  </si>
  <si>
    <t xml:space="preserve">3.0 - 3.4</t>
  </si>
  <si>
    <t xml:space="preserve">Meets goals</t>
  </si>
  <si>
    <t xml:space="preserve">2.0 - 2.9</t>
  </si>
  <si>
    <t xml:space="preserve">Partially meets goals</t>
  </si>
  <si>
    <t xml:space="preserve">Below 2.0</t>
  </si>
  <si>
    <t xml:space="preserve">Does not meet goals</t>
  </si>
  <si>
    <t xml:space="preserve">SMART Goal Tracker (enter goals; progress is in blue)</t>
  </si>
  <si>
    <t xml:space="preserve">Employee</t>
  </si>
  <si>
    <t xml:space="preserve">Goal (Specific)</t>
  </si>
  <si>
    <t xml:space="preserve">Measure</t>
  </si>
  <si>
    <t xml:space="preserve">Target</t>
  </si>
  <si>
    <t xml:space="preserve">Actual</t>
  </si>
  <si>
    <t xml:space="preserve">Progress %</t>
  </si>
  <si>
    <t xml:space="preserve">Deadline</t>
  </si>
  <si>
    <t xml:space="preserve">Increase quarterly sales</t>
  </si>
  <si>
    <t xml:space="preserve">Revenue (Rs lakh)</t>
  </si>
  <si>
    <t xml:space="preserve">31-Mar-2027</t>
  </si>
  <si>
    <t xml:space="preserve">Launch 4 campaigns</t>
  </si>
  <si>
    <t xml:space="preserve">Campaigns</t>
  </si>
  <si>
    <t xml:space="preserve">30-Jun-2027</t>
  </si>
  <si>
    <t xml:space="preserve">Resolve tickets</t>
  </si>
  <si>
    <t xml:space="preserve">Tickets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</si>
</sst>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+0.00;\-0.00;0.00"/>
    <numFmt numFmtId="167" formatCode="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00B05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</c:strCache>
            </c:strRef>
          </c:cat>
          <c:val>
            <c:numRef>
              <c:f>Summary!$B$22:$B$26</c:f>
              <c:numCache>
                <c:formatCode>0.00</c:formatCode>
                <c:ptCount val="5"/>
                <c:pt idx="0">
                  <c:v>3.94</c:v>
                </c:pt>
                <c:pt idx="1">
                  <c:v>3.315</c:v>
                </c:pt>
                <c:pt idx="2">
                  <c:v>4.065</c:v>
                </c:pt>
                <c:pt idx="3">
                  <c:v>4.13</c:v>
                </c:pt>
                <c:pt idx="4">
                  <c:v>3.44</c:v>
                </c:pt>
              </c:numCache>
            </c:numRef>
          </c:val>
        </c:ser>
        <c:gapWidth val="150"/>
        <c:overlap val="0"/>
        <c:axId val="47395531"/>
        <c:axId val="44418914"/>
      </c:barChart>
      <c:catAx>
        <c:axId val="47395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18914"/>
        <c:crosses val="autoZero"/>
        <c:auto val="1"/>
        <c:lblAlgn val="ctr"/>
        <c:lblOffset val="100"/>
        <c:noMultiLvlLbl val="0"/>
      </c:catAx>
      <c:valAx>
        <c:axId val="4441891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95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Summary!$A$31:$A$35</c:f>
              <c:strCache>
                <c:ptCount val="5"/>
                <c:pt idx="0">
                  <c:v>Outstanding</c:v>
                </c:pt>
                <c:pt idx="1">
                  <c:v>Exceeds Expectations</c:v>
                </c:pt>
                <c:pt idx="2">
                  <c:v>Meets Expectations</c:v>
                </c:pt>
                <c:pt idx="3">
                  <c:v>Needs Improvement</c:v>
                </c:pt>
                <c:pt idx="4">
                  <c:v>Unsatisfactory</c:v>
                </c:pt>
              </c:strCache>
            </c:strRef>
          </c:cat>
          <c:val>
            <c:numRef>
              <c:f>Summary!$B$31:$B$35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7998613"/>
        <c:axId val="22097629"/>
      </c:barChart>
      <c:catAx>
        <c:axId val="37998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97629"/>
        <c:crosses val="autoZero"/>
        <c:auto val="1"/>
        <c:lblAlgn val="ctr"/>
        <c:lblOffset val="100"/>
        <c:noMultiLvlLbl val="0"/>
      </c:catAx>
      <c:valAx>
        <c:axId val="22097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98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484056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160560</xdr:rowOff>
    </xdr:from>
    <xdr:to>
      <xdr:col>12</xdr:col>
      <xdr:colOff>147600</xdr:colOff>
      <xdr:row>32</xdr:row>
      <xdr:rowOff>2880</xdr:rowOff>
    </xdr:to>
    <xdr:graphicFrame>
      <xdr:nvGraphicFramePr>
        <xdr:cNvPr id="1" name="Chart 2"/>
        <xdr:cNvGraphicFramePr/>
      </xdr:nvGraphicFramePr>
      <xdr:xfrm>
        <a:off x="484056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4" min="1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n">
        <v>4.5</v>
      </c>
      <c r="E5" s="4" t="n">
        <v>4</v>
      </c>
      <c r="F5" s="4" t="n">
        <v>4.5</v>
      </c>
      <c r="G5" s="4" t="n">
        <v>5</v>
      </c>
      <c r="H5" s="5" t="n">
        <f aca="false">ROUND(AVERAGE(D5:G5),2)</f>
        <v>4.5</v>
      </c>
      <c r="I5" s="6" t="n">
        <v>4.1</v>
      </c>
      <c r="J5" s="7" t="n">
        <f aca="false">H5-I5</f>
        <v>0.4</v>
      </c>
      <c r="K5" s="8" t="str">
        <f aca="false">IF(H5&gt;=4.5,"Outstanding",IF(H5&gt;=3.5,"Exceeds Expectations",IF(H5&gt;=3,"Meets Expectations",IF(H5&gt;=2,"Needs Improvement","Unsatisfactory"))))</f>
        <v>Outstanding</v>
      </c>
      <c r="L5" s="8" t="str">
        <f aca="false">IF(H5&lt;3,"Needs Support",IF(H5&gt;=4,"Top Performer","On Track"))</f>
        <v>Top Performer</v>
      </c>
      <c r="M5" s="4" t="s">
        <v>19</v>
      </c>
      <c r="N5" s="4" t="s">
        <v>20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23</v>
      </c>
      <c r="D6" s="4" t="n">
        <v>4</v>
      </c>
      <c r="E6" s="4" t="n">
        <v>4.5</v>
      </c>
      <c r="F6" s="4" t="n">
        <v>4</v>
      </c>
      <c r="G6" s="4" t="n">
        <v>4</v>
      </c>
      <c r="H6" s="5" t="n">
        <f aca="false">ROUND(AVERAGE(D6:G6),2)</f>
        <v>4.13</v>
      </c>
      <c r="I6" s="6" t="n">
        <v>3.9</v>
      </c>
      <c r="J6" s="7" t="n">
        <f aca="false">H6-I6</f>
        <v>0.23</v>
      </c>
      <c r="K6" s="8" t="str">
        <f aca="false">IF(H6&gt;=4.5,"Outstanding",IF(H6&gt;=3.5,"Exceeds Expectations",IF(H6&gt;=3,"Meets Expectations",IF(H6&gt;=2,"Needs Improvement","Unsatisfactory"))))</f>
        <v>Exceeds Expectations</v>
      </c>
      <c r="L6" s="8" t="str">
        <f aca="false">IF(H6&lt;3,"Needs Support",IF(H6&gt;=4,"Top Performer","On Track"))</f>
        <v>Top Performer</v>
      </c>
      <c r="M6" s="4" t="s">
        <v>24</v>
      </c>
      <c r="N6" s="4" t="s">
        <v>25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28</v>
      </c>
      <c r="D7" s="4" t="n">
        <v>3.5</v>
      </c>
      <c r="E7" s="4" t="n">
        <v>4</v>
      </c>
      <c r="F7" s="4" t="n">
        <v>3.5</v>
      </c>
      <c r="G7" s="4" t="n">
        <v>3</v>
      </c>
      <c r="H7" s="5" t="n">
        <f aca="false">ROUND(AVERAGE(D7:G7),2)</f>
        <v>3.5</v>
      </c>
      <c r="I7" s="6" t="n">
        <v>3.4</v>
      </c>
      <c r="J7" s="7" t="n">
        <f aca="false">H7-I7</f>
        <v>0.1</v>
      </c>
      <c r="K7" s="8" t="str">
        <f aca="false">IF(H7&gt;=4.5,"Outstanding",IF(H7&gt;=3.5,"Exceeds Expectations",IF(H7&gt;=3,"Meets Expectations",IF(H7&gt;=2,"Needs Improvement","Unsatisfactory"))))</f>
        <v>Exceeds Expectations</v>
      </c>
      <c r="L7" s="8" t="str">
        <f aca="false">IF(H7&lt;3,"Needs Support",IF(H7&gt;=4,"Top Performer","On Track"))</f>
        <v>On Track</v>
      </c>
      <c r="M7" s="4" t="s">
        <v>29</v>
      </c>
      <c r="N7" s="4" t="s">
        <v>30</v>
      </c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33</v>
      </c>
      <c r="D8" s="4" t="n">
        <v>4.5</v>
      </c>
      <c r="E8" s="4" t="n">
        <v>4.5</v>
      </c>
      <c r="F8" s="4" t="n">
        <v>5</v>
      </c>
      <c r="G8" s="4" t="n">
        <v>4.5</v>
      </c>
      <c r="H8" s="5" t="n">
        <f aca="false">ROUND(AVERAGE(D8:G8),2)</f>
        <v>4.63</v>
      </c>
      <c r="I8" s="6" t="n">
        <v>4.4</v>
      </c>
      <c r="J8" s="7" t="n">
        <f aca="false">H8-I8</f>
        <v>0.23</v>
      </c>
      <c r="K8" s="8" t="str">
        <f aca="false">IF(H8&gt;=4.5,"Outstanding",IF(H8&gt;=3.5,"Exceeds Expectations",IF(H8&gt;=3,"Meets Expectations",IF(H8&gt;=2,"Needs Improvement","Unsatisfactory"))))</f>
        <v>Outstanding</v>
      </c>
      <c r="L8" s="8" t="str">
        <f aca="false">IF(H8&lt;3,"Needs Support",IF(H8&gt;=4,"Top Performer","On Track"))</f>
        <v>Top Performer</v>
      </c>
      <c r="M8" s="4" t="s">
        <v>34</v>
      </c>
      <c r="N8" s="4" t="s">
        <v>35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38</v>
      </c>
      <c r="D9" s="4" t="n">
        <v>3</v>
      </c>
      <c r="E9" s="4" t="n">
        <v>3</v>
      </c>
      <c r="F9" s="4" t="n">
        <v>3.5</v>
      </c>
      <c r="G9" s="4" t="n">
        <v>2.5</v>
      </c>
      <c r="H9" s="5" t="n">
        <f aca="false">ROUND(AVERAGE(D9:G9),2)</f>
        <v>3</v>
      </c>
      <c r="I9" s="6" t="n">
        <v>3.1</v>
      </c>
      <c r="J9" s="7" t="n">
        <f aca="false">H9-I9</f>
        <v>-0.1</v>
      </c>
      <c r="K9" s="8" t="str">
        <f aca="false">IF(H9&gt;=4.5,"Outstanding",IF(H9&gt;=3.5,"Exceeds Expectations",IF(H9&gt;=3,"Meets Expectations",IF(H9&gt;=2,"Needs Improvement","Unsatisfactory"))))</f>
        <v>Meets Expectations</v>
      </c>
      <c r="L9" s="8" t="str">
        <f aca="false">IF(H9&lt;3,"Needs Support",IF(H9&gt;=4,"Top Performer","On Track"))</f>
        <v>On Track</v>
      </c>
      <c r="M9" s="4" t="s">
        <v>39</v>
      </c>
      <c r="N9" s="4" t="s">
        <v>40</v>
      </c>
    </row>
    <row r="10" customFormat="false" ht="15" hidden="false" customHeight="false" outlineLevel="0" collapsed="false">
      <c r="A10" s="4" t="s">
        <v>41</v>
      </c>
      <c r="B10" s="4" t="s">
        <v>42</v>
      </c>
      <c r="C10" s="4" t="s">
        <v>18</v>
      </c>
      <c r="D10" s="4" t="n">
        <v>3.5</v>
      </c>
      <c r="E10" s="4" t="n">
        <v>3.5</v>
      </c>
      <c r="F10" s="4" t="n">
        <v>3</v>
      </c>
      <c r="G10" s="4" t="n">
        <v>3.5</v>
      </c>
      <c r="H10" s="5" t="n">
        <f aca="false">ROUND(AVERAGE(D10:G10),2)</f>
        <v>3.38</v>
      </c>
      <c r="I10" s="6" t="n">
        <v>3.3</v>
      </c>
      <c r="J10" s="7" t="n">
        <f aca="false">H10-I10</f>
        <v>0.0800000000000001</v>
      </c>
      <c r="K10" s="8" t="str">
        <f aca="false">IF(H10&gt;=4.5,"Outstanding",IF(H10&gt;=3.5,"Exceeds Expectations",IF(H10&gt;=3,"Meets Expectations",IF(H10&gt;=2,"Needs Improvement","Unsatisfactory"))))</f>
        <v>Meets Expectations</v>
      </c>
      <c r="L10" s="8" t="str">
        <f aca="false">IF(H10&lt;3,"Needs Support",IF(H10&gt;=4,"Top Performer","On Track"))</f>
        <v>On Track</v>
      </c>
      <c r="M10" s="4" t="s">
        <v>43</v>
      </c>
      <c r="N10" s="4" t="s">
        <v>44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28</v>
      </c>
      <c r="D11" s="4" t="n">
        <v>5</v>
      </c>
      <c r="E11" s="4" t="n">
        <v>4.5</v>
      </c>
      <c r="F11" s="4" t="n">
        <v>4.5</v>
      </c>
      <c r="G11" s="4" t="n">
        <v>4.5</v>
      </c>
      <c r="H11" s="5" t="n">
        <f aca="false">ROUND(AVERAGE(D11:G11),2)</f>
        <v>4.63</v>
      </c>
      <c r="I11" s="6" t="n">
        <v>4.3</v>
      </c>
      <c r="J11" s="7" t="n">
        <f aca="false">H11-I11</f>
        <v>0.33</v>
      </c>
      <c r="K11" s="8" t="str">
        <f aca="false">IF(H11&gt;=4.5,"Outstanding",IF(H11&gt;=3.5,"Exceeds Expectations",IF(H11&gt;=3,"Meets Expectations",IF(H11&gt;=2,"Needs Improvement","Unsatisfactory"))))</f>
        <v>Outstanding</v>
      </c>
      <c r="L11" s="8" t="str">
        <f aca="false">IF(H11&lt;3,"Needs Support",IF(H11&gt;=4,"Top Performer","On Track"))</f>
        <v>Top Performer</v>
      </c>
      <c r="M11" s="4" t="s">
        <v>47</v>
      </c>
      <c r="N11" s="4" t="s">
        <v>48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4" t="s">
        <v>23</v>
      </c>
      <c r="D12" s="4" t="n">
        <v>2.5</v>
      </c>
      <c r="E12" s="4" t="n">
        <v>3</v>
      </c>
      <c r="F12" s="4" t="n">
        <v>2.5</v>
      </c>
      <c r="G12" s="4" t="n">
        <v>2</v>
      </c>
      <c r="H12" s="5" t="n">
        <f aca="false">ROUND(AVERAGE(D12:G12),2)</f>
        <v>2.5</v>
      </c>
      <c r="I12" s="6" t="n">
        <v>2.8</v>
      </c>
      <c r="J12" s="7" t="n">
        <f aca="false">H12-I12</f>
        <v>-0.3</v>
      </c>
      <c r="K12" s="8" t="str">
        <f aca="false">IF(H12&gt;=4.5,"Outstanding",IF(H12&gt;=3.5,"Exceeds Expectations",IF(H12&gt;=3,"Meets Expectations",IF(H12&gt;=2,"Needs Improvement","Unsatisfactory"))))</f>
        <v>Needs Improvement</v>
      </c>
      <c r="L12" s="8" t="str">
        <f aca="false">IF(H12&lt;3,"Needs Support",IF(H12&gt;=4,"Top Performer","On Track"))</f>
        <v>Needs Support</v>
      </c>
      <c r="M12" s="4" t="s">
        <v>51</v>
      </c>
      <c r="N12" s="4" t="s">
        <v>52</v>
      </c>
    </row>
    <row r="13" customFormat="false" ht="15" hidden="false" customHeight="false" outlineLevel="0" collapsed="false">
      <c r="A13" s="4" t="s">
        <v>53</v>
      </c>
      <c r="B13" s="4" t="s">
        <v>54</v>
      </c>
      <c r="C13" s="4" t="s">
        <v>38</v>
      </c>
      <c r="D13" s="4" t="n">
        <v>4</v>
      </c>
      <c r="E13" s="4" t="n">
        <v>3.5</v>
      </c>
      <c r="F13" s="4" t="n">
        <v>4</v>
      </c>
      <c r="G13" s="4" t="n">
        <v>4</v>
      </c>
      <c r="H13" s="5" t="n">
        <f aca="false">ROUND(AVERAGE(D13:G13),2)</f>
        <v>3.88</v>
      </c>
      <c r="I13" s="6" t="n">
        <v>3.7</v>
      </c>
      <c r="J13" s="7" t="n">
        <f aca="false">H13-I13</f>
        <v>0.18</v>
      </c>
      <c r="K13" s="8" t="str">
        <f aca="false">IF(H13&gt;=4.5,"Outstanding",IF(H13&gt;=3.5,"Exceeds Expectations",IF(H13&gt;=3,"Meets Expectations",IF(H13&gt;=2,"Needs Improvement","Unsatisfactory"))))</f>
        <v>Exceeds Expectations</v>
      </c>
      <c r="L13" s="8" t="str">
        <f aca="false">IF(H13&lt;3,"Needs Support",IF(H13&gt;=4,"Top Performer","On Track"))</f>
        <v>On Track</v>
      </c>
      <c r="M13" s="4" t="s">
        <v>55</v>
      </c>
      <c r="N13" s="4" t="s">
        <v>56</v>
      </c>
    </row>
    <row r="14" customFormat="false" ht="15" hidden="false" customHeight="false" outlineLevel="0" collapsed="false">
      <c r="A14" s="4" t="s">
        <v>57</v>
      </c>
      <c r="B14" s="4" t="s">
        <v>58</v>
      </c>
      <c r="C14" s="4" t="s">
        <v>33</v>
      </c>
      <c r="D14" s="4" t="n">
        <v>3.5</v>
      </c>
      <c r="E14" s="4" t="n">
        <v>4</v>
      </c>
      <c r="F14" s="4" t="n">
        <v>3.5</v>
      </c>
      <c r="G14" s="4" t="n">
        <v>3.5</v>
      </c>
      <c r="H14" s="5" t="n">
        <f aca="false">ROUND(AVERAGE(D14:G14),2)</f>
        <v>3.63</v>
      </c>
      <c r="I14" s="6" t="n">
        <v>3.6</v>
      </c>
      <c r="J14" s="7" t="n">
        <f aca="false">H14-I14</f>
        <v>0.0299999999999998</v>
      </c>
      <c r="K14" s="8" t="str">
        <f aca="false">IF(H14&gt;=4.5,"Outstanding",IF(H14&gt;=3.5,"Exceeds Expectations",IF(H14&gt;=3,"Meets Expectations",IF(H14&gt;=2,"Needs Improvement","Unsatisfactory"))))</f>
        <v>Exceeds Expectations</v>
      </c>
      <c r="L14" s="8" t="str">
        <f aca="false">IF(H14&lt;3,"Needs Support",IF(H14&gt;=4,"Top Performer","On Track"))</f>
        <v>On Track</v>
      </c>
      <c r="M14" s="4" t="s">
        <v>59</v>
      </c>
      <c r="N14" s="4" t="s">
        <v>60</v>
      </c>
    </row>
  </sheetData>
  <conditionalFormatting sqref="H5:H14">
    <cfRule type="cellIs" priority="2" operator="lessThan" aboveAverage="0" equalAverage="0" bottom="0" percent="0" rank="0" text="" dxfId="0">
      <formula>3</formula>
    </cfRule>
    <cfRule type="cellIs" priority="3" operator="greaterThanOrEqual" aboveAverage="0" equalAverage="0" bottom="0" percent="0" rank="0" text="" dxfId="1">
      <formula>4</formula>
    </cfRule>
  </conditionalFormatting>
  <conditionalFormatting sqref="L5:L14">
    <cfRule type="expression" priority="4" aboveAverage="0" equalAverage="0" bottom="0" percent="0" rank="0" text="" dxfId="2">
      <formula>$L5="Needs Support"</formula>
    </cfRule>
  </conditionalFormatting>
  <conditionalFormatting sqref="J5:J14">
    <cfRule type="cellIs" priority="5" operator="lessThan" aboveAverage="0" equalAverage="0" bottom="0" percent="0" rank="0" text="" dxfId="3">
      <formula>0</formula>
    </cfRule>
    <cfRule type="cellIs" priority="6" operator="greaterThan" aboveAverage="0" equalAverage="0" bottom="0" percent="0" rank="0" text="" dxfId="4">
      <formula>0</formula>
    </cfRule>
  </conditionalFormatting>
  <dataValidations count="1">
    <dataValidation allowBlank="false" error="Enter score between 1 and 5" errorStyle="stop" operator="between" showDropDown="false" showErrorMessage="true" showInputMessage="false" sqref="D5:G14 I5:I14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8" t="s">
        <v>62</v>
      </c>
      <c r="B3" s="9" t="n">
        <f aca="false">COUNTA('Evaluation Data'!$A$5:$A$14)</f>
        <v>10</v>
      </c>
    </row>
    <row r="4" customFormat="false" ht="15" hidden="false" customHeight="false" outlineLevel="0" collapsed="false">
      <c r="A4" s="8" t="s">
        <v>63</v>
      </c>
      <c r="B4" s="10" t="n">
        <f aca="false">AVERAGE('Evaluation Data'!$H$5:$H$14)</f>
        <v>3.778</v>
      </c>
    </row>
    <row r="5" customFormat="false" ht="15" hidden="false" customHeight="false" outlineLevel="0" collapsed="false">
      <c r="A5" s="8" t="s">
        <v>64</v>
      </c>
      <c r="B5" s="10" t="n">
        <f aca="false">AVERAGE('Evaluation Data'!$I$5:$I$14)</f>
        <v>3.66</v>
      </c>
    </row>
    <row r="6" customFormat="false" ht="15" hidden="false" customHeight="false" outlineLevel="0" collapsed="false">
      <c r="A6" s="8" t="s">
        <v>65</v>
      </c>
      <c r="B6" s="11" t="n">
        <f aca="false">B4-B5</f>
        <v>0.118</v>
      </c>
    </row>
    <row r="7" customFormat="false" ht="15" hidden="false" customHeight="false" outlineLevel="0" collapsed="false">
      <c r="A7" s="8" t="s">
        <v>66</v>
      </c>
      <c r="B7" s="10" t="n">
        <f aca="false">MAX('Evaluation Data'!$H$5:$H$14)</f>
        <v>4.63</v>
      </c>
    </row>
    <row r="8" customFormat="false" ht="15" hidden="false" customHeight="false" outlineLevel="0" collapsed="false">
      <c r="A8" s="8" t="s">
        <v>67</v>
      </c>
      <c r="B8" s="10" t="n">
        <f aca="false">MIN('Evaluation Data'!$H$5:$H$14)</f>
        <v>2.5</v>
      </c>
    </row>
    <row r="9" customFormat="false" ht="15" hidden="false" customHeight="false" outlineLevel="0" collapsed="false">
      <c r="A9" s="8" t="s">
        <v>68</v>
      </c>
      <c r="B9" s="9" t="n">
        <f aca="false">COUNTIF('Evaluation Data'!$L$5:$L$14,"Needs Support")</f>
        <v>1</v>
      </c>
    </row>
    <row r="10" customFormat="false" ht="15" hidden="false" customHeight="false" outlineLevel="0" collapsed="false">
      <c r="A10" s="8" t="s">
        <v>69</v>
      </c>
      <c r="B10" s="9" t="n">
        <f aca="false">COUNTIF('Evaluation Data'!$L$5:$L$14,"Top Performer")</f>
        <v>4</v>
      </c>
    </row>
    <row r="13" customFormat="false" ht="15" hidden="false" customHeight="false" outlineLevel="0" collapsed="false">
      <c r="A13" s="12" t="s">
        <v>70</v>
      </c>
    </row>
    <row r="14" customFormat="false" ht="15" hidden="false" customHeight="false" outlineLevel="0" collapsed="false">
      <c r="A14" s="13" t="s">
        <v>71</v>
      </c>
      <c r="B14" s="13" t="s">
        <v>72</v>
      </c>
      <c r="C14" s="13" t="s">
        <v>73</v>
      </c>
    </row>
    <row r="15" customFormat="false" ht="15" hidden="false" customHeight="false" outlineLevel="0" collapsed="false">
      <c r="A15" s="8" t="n">
        <v>1</v>
      </c>
      <c r="B15" s="8" t="str">
        <f aca="false">INDEX('Evaluation Data'!$B$5:$B$14,MATCH(C15,'Evaluation Data'!$H$5:$H$14,0))</f>
        <v>Sneha Iyer</v>
      </c>
      <c r="C15" s="5" t="n">
        <f aca="false">LARGE('Evaluation Data'!$H$5:$H$14,A15)</f>
        <v>4.63</v>
      </c>
    </row>
    <row r="16" customFormat="false" ht="15" hidden="false" customHeight="false" outlineLevel="0" collapsed="false">
      <c r="A16" s="8" t="n">
        <v>2</v>
      </c>
      <c r="B16" s="8" t="str">
        <f aca="false">INDEX('Evaluation Data'!$B$5:$B$14,MATCH(C16,'Evaluation Data'!$H$5:$H$14,0))</f>
        <v>Sneha Iyer</v>
      </c>
      <c r="C16" s="5" t="n">
        <f aca="false">LARGE('Evaluation Data'!$H$5:$H$14,A16)</f>
        <v>4.63</v>
      </c>
    </row>
    <row r="17" customFormat="false" ht="15" hidden="false" customHeight="false" outlineLevel="0" collapsed="false">
      <c r="A17" s="8" t="n">
        <v>3</v>
      </c>
      <c r="B17" s="8" t="str">
        <f aca="false">INDEX('Evaluation Data'!$B$5:$B$14,MATCH(C17,'Evaluation Data'!$H$5:$H$14,0))</f>
        <v>Aarav Sharma</v>
      </c>
      <c r="C17" s="5" t="n">
        <f aca="false">LARGE('Evaluation Data'!$H$5:$H$14,A17)</f>
        <v>4.5</v>
      </c>
    </row>
    <row r="20" customFormat="false" ht="15" hidden="false" customHeight="false" outlineLevel="0" collapsed="false">
      <c r="A20" s="12" t="s">
        <v>74</v>
      </c>
    </row>
    <row r="21" customFormat="false" ht="15" hidden="false" customHeight="false" outlineLevel="0" collapsed="false">
      <c r="A21" s="13" t="s">
        <v>4</v>
      </c>
      <c r="B21" s="13" t="s">
        <v>75</v>
      </c>
      <c r="C21" s="13" t="s">
        <v>76</v>
      </c>
    </row>
    <row r="22" customFormat="false" ht="15" hidden="false" customHeight="false" outlineLevel="0" collapsed="false">
      <c r="A22" s="4" t="s">
        <v>18</v>
      </c>
      <c r="B22" s="5" t="n">
        <f aca="false">IFERROR(AVERAGEIF('Evaluation Data'!$C$5:$C$14,A22,'Evaluation Data'!$H$5:$H$14),0)</f>
        <v>3.94</v>
      </c>
      <c r="C22" s="8" t="n">
        <f aca="false">COUNTIF('Evaluation Data'!$C$5:$C$14,A22)</f>
        <v>2</v>
      </c>
    </row>
    <row r="23" customFormat="false" ht="15" hidden="false" customHeight="false" outlineLevel="0" collapsed="false">
      <c r="A23" s="4" t="s">
        <v>23</v>
      </c>
      <c r="B23" s="5" t="n">
        <f aca="false">IFERROR(AVERAGEIF('Evaluation Data'!$C$5:$C$14,A23,'Evaluation Data'!$H$5:$H$14),0)</f>
        <v>3.315</v>
      </c>
      <c r="C23" s="8" t="n">
        <f aca="false">COUNTIF('Evaluation Data'!$C$5:$C$14,A23)</f>
        <v>2</v>
      </c>
    </row>
    <row r="24" customFormat="false" ht="15" hidden="false" customHeight="false" outlineLevel="0" collapsed="false">
      <c r="A24" s="4" t="s">
        <v>28</v>
      </c>
      <c r="B24" s="5" t="n">
        <f aca="false">IFERROR(AVERAGEIF('Evaluation Data'!$C$5:$C$14,A24,'Evaluation Data'!$H$5:$H$14),0)</f>
        <v>4.065</v>
      </c>
      <c r="C24" s="8" t="n">
        <f aca="false">COUNTIF('Evaluation Data'!$C$5:$C$14,A24)</f>
        <v>2</v>
      </c>
    </row>
    <row r="25" customFormat="false" ht="15" hidden="false" customHeight="false" outlineLevel="0" collapsed="false">
      <c r="A25" s="4" t="s">
        <v>33</v>
      </c>
      <c r="B25" s="5" t="n">
        <f aca="false">IFERROR(AVERAGEIF('Evaluation Data'!$C$5:$C$14,A25,'Evaluation Data'!$H$5:$H$14),0)</f>
        <v>4.13</v>
      </c>
      <c r="C25" s="8" t="n">
        <f aca="false">COUNTIF('Evaluation Data'!$C$5:$C$14,A25)</f>
        <v>2</v>
      </c>
    </row>
    <row r="26" customFormat="false" ht="15" hidden="false" customHeight="false" outlineLevel="0" collapsed="false">
      <c r="A26" s="4" t="s">
        <v>38</v>
      </c>
      <c r="B26" s="5" t="n">
        <f aca="false">IFERROR(AVERAGEIF('Evaluation Data'!$C$5:$C$14,A26,'Evaluation Data'!$H$5:$H$14),0)</f>
        <v>3.44</v>
      </c>
      <c r="C26" s="8" t="n">
        <f aca="false">COUNTIF('Evaluation Data'!$C$5:$C$14,A26)</f>
        <v>2</v>
      </c>
    </row>
    <row r="29" customFormat="false" ht="15" hidden="false" customHeight="false" outlineLevel="0" collapsed="false">
      <c r="A29" s="12" t="s">
        <v>77</v>
      </c>
    </row>
    <row r="30" customFormat="false" ht="15" hidden="false" customHeight="false" outlineLevel="0" collapsed="false">
      <c r="A30" s="13" t="s">
        <v>12</v>
      </c>
      <c r="B30" s="13" t="s">
        <v>78</v>
      </c>
    </row>
    <row r="31" customFormat="false" ht="15" hidden="false" customHeight="false" outlineLevel="0" collapsed="false">
      <c r="A31" s="8" t="s">
        <v>79</v>
      </c>
      <c r="B31" s="8" t="n">
        <f aca="false">COUNTIF('Evaluation Data'!$K$5:$K$14,A31)</f>
        <v>3</v>
      </c>
    </row>
    <row r="32" customFormat="false" ht="15" hidden="false" customHeight="false" outlineLevel="0" collapsed="false">
      <c r="A32" s="8" t="s">
        <v>80</v>
      </c>
      <c r="B32" s="8" t="n">
        <f aca="false">COUNTIF('Evaluation Data'!$K$5:$K$14,A32)</f>
        <v>4</v>
      </c>
    </row>
    <row r="33" customFormat="false" ht="15" hidden="false" customHeight="false" outlineLevel="0" collapsed="false">
      <c r="A33" s="8" t="s">
        <v>81</v>
      </c>
      <c r="B33" s="8" t="n">
        <f aca="false">COUNTIF('Evaluation Data'!$K$5:$K$14,A33)</f>
        <v>2</v>
      </c>
    </row>
    <row r="34" customFormat="false" ht="15" hidden="false" customHeight="false" outlineLevel="0" collapsed="false">
      <c r="A34" s="8" t="s">
        <v>82</v>
      </c>
      <c r="B34" s="8" t="n">
        <f aca="false">COUNTIF('Evaluation Data'!$K$5:$K$14,A34)</f>
        <v>1</v>
      </c>
    </row>
    <row r="35" customFormat="false" ht="15" hidden="false" customHeight="false" outlineLevel="0" collapsed="false">
      <c r="A35" s="8" t="s">
        <v>83</v>
      </c>
      <c r="B35" s="8" t="n">
        <f aca="false">COUNTIF('Evaluation Data'!$K$5:$K$14,A35)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84</v>
      </c>
    </row>
    <row r="3" customFormat="false" ht="15" hidden="false" customHeight="false" outlineLevel="0" collapsed="false">
      <c r="A3" s="14" t="s">
        <v>85</v>
      </c>
      <c r="B3" s="14" t="s">
        <v>12</v>
      </c>
      <c r="C3" s="14" t="s">
        <v>86</v>
      </c>
    </row>
    <row r="4" customFormat="false" ht="15" hidden="false" customHeight="false" outlineLevel="0" collapsed="false">
      <c r="A4" s="15" t="s">
        <v>87</v>
      </c>
      <c r="B4" s="15" t="s">
        <v>79</v>
      </c>
      <c r="C4" s="15" t="s">
        <v>88</v>
      </c>
    </row>
    <row r="5" customFormat="false" ht="15" hidden="false" customHeight="false" outlineLevel="0" collapsed="false">
      <c r="A5" s="15" t="s">
        <v>89</v>
      </c>
      <c r="B5" s="15" t="s">
        <v>80</v>
      </c>
      <c r="C5" s="15" t="s">
        <v>90</v>
      </c>
    </row>
    <row r="6" customFormat="false" ht="15" hidden="false" customHeight="false" outlineLevel="0" collapsed="false">
      <c r="A6" s="15" t="s">
        <v>91</v>
      </c>
      <c r="B6" s="15" t="s">
        <v>81</v>
      </c>
      <c r="C6" s="15" t="s">
        <v>92</v>
      </c>
    </row>
    <row r="7" customFormat="false" ht="15" hidden="false" customHeight="false" outlineLevel="0" collapsed="false">
      <c r="A7" s="15" t="s">
        <v>93</v>
      </c>
      <c r="B7" s="15" t="s">
        <v>82</v>
      </c>
      <c r="C7" s="15" t="s">
        <v>94</v>
      </c>
    </row>
    <row r="8" customFormat="false" ht="15" hidden="false" customHeight="false" outlineLevel="0" collapsed="false">
      <c r="A8" s="15" t="s">
        <v>95</v>
      </c>
      <c r="B8" s="15" t="s">
        <v>83</v>
      </c>
      <c r="C8" s="15" t="s">
        <v>96</v>
      </c>
    </row>
    <row r="11" customFormat="false" ht="15" hidden="false" customHeight="false" outlineLevel="0" collapsed="false">
      <c r="A11" s="12" t="s">
        <v>97</v>
      </c>
    </row>
    <row r="12" customFormat="false" ht="15" hidden="false" customHeight="false" outlineLevel="0" collapsed="false">
      <c r="A12" s="14" t="s">
        <v>98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4" t="s">
        <v>103</v>
      </c>
      <c r="G12" s="14" t="s">
        <v>104</v>
      </c>
      <c r="H12" s="14" t="s">
        <v>13</v>
      </c>
    </row>
    <row r="13" customFormat="false" ht="15" hidden="false" customHeight="false" outlineLevel="0" collapsed="false">
      <c r="A13" s="16" t="s">
        <v>17</v>
      </c>
      <c r="B13" s="16" t="s">
        <v>105</v>
      </c>
      <c r="C13" s="16" t="s">
        <v>106</v>
      </c>
      <c r="D13" s="16" t="n">
        <v>50</v>
      </c>
      <c r="E13" s="16" t="n">
        <v>42</v>
      </c>
      <c r="F13" s="17" t="n">
        <f aca="false">IFERROR(E13/D13,0)</f>
        <v>0.84</v>
      </c>
      <c r="G13" s="16" t="s">
        <v>107</v>
      </c>
      <c r="H13" s="15" t="str">
        <f aca="false">IF(F13&gt;=1,"Achieved",IF(F13&gt;=0.6,"On Track","At Risk"))</f>
        <v>On Track</v>
      </c>
    </row>
    <row r="14" customFormat="false" ht="15" hidden="false" customHeight="false" outlineLevel="0" collapsed="false">
      <c r="A14" s="16" t="s">
        <v>22</v>
      </c>
      <c r="B14" s="16" t="s">
        <v>108</v>
      </c>
      <c r="C14" s="16" t="s">
        <v>109</v>
      </c>
      <c r="D14" s="16" t="n">
        <v>4</v>
      </c>
      <c r="E14" s="16" t="n">
        <v>3</v>
      </c>
      <c r="F14" s="17" t="n">
        <f aca="false">IFERROR(E14/D14,0)</f>
        <v>0.75</v>
      </c>
      <c r="G14" s="16" t="s">
        <v>110</v>
      </c>
      <c r="H14" s="15" t="str">
        <f aca="false">IF(F14&gt;=1,"Achieved",IF(F14&gt;=0.6,"On Track","At Risk"))</f>
        <v>On Track</v>
      </c>
    </row>
    <row r="15" customFormat="false" ht="15" hidden="false" customHeight="false" outlineLevel="0" collapsed="false">
      <c r="A15" s="16" t="s">
        <v>27</v>
      </c>
      <c r="B15" s="16" t="s">
        <v>111</v>
      </c>
      <c r="C15" s="16" t="s">
        <v>112</v>
      </c>
      <c r="D15" s="16" t="n">
        <v>200</v>
      </c>
      <c r="E15" s="16" t="n">
        <v>120</v>
      </c>
      <c r="F15" s="17" t="n">
        <f aca="false">IFERROR(E15/D15,0)</f>
        <v>0.6</v>
      </c>
      <c r="G15" s="16" t="s">
        <v>107</v>
      </c>
      <c r="H15" s="15" t="str">
        <f aca="false">IF(F15&gt;=1,"Achieved",IF(F15&gt;=0.6,"On Track","At Risk"))</f>
        <v>On Track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2026-10-27T17:45:18Z</dcterms:created>
  <dc:creator>openpyxl</dc:creator>
  <dc:description/>
  <dc:language>en-US</dc:language>
  <cp:lastModifiedBy/>
  <dcterms:modified xsi:type="dcterms:W3CDTF">2026-10-27T17:45:22Z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